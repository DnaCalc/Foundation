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F021E0DA-AB5D-4393-A4CB-9737FF6ABBA4}" xr6:coauthVersionLast="47" xr6:coauthVersionMax="47" xr10:uidLastSave="{00000000-0000-0000-0000-000000000000}"/>
  <bookViews>
    <workbookView xWindow="3135" yWindow="3885" windowWidth="11955" windowHeight="11595" xr2:uid="{3B1FC923-FBC4-4E0A-91AC-93A105A95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N2" i="1"/>
  <c r="N1" i="1"/>
  <c r="M40" i="1"/>
  <c r="M39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2" i="1"/>
  <c r="M20" i="1"/>
  <c r="M18" i="1"/>
  <c r="M17" i="1"/>
  <c r="M16" i="1"/>
  <c r="M14" i="1"/>
  <c r="M12" i="1"/>
  <c r="M10" i="1"/>
  <c r="L39" i="1"/>
  <c r="L38" i="1"/>
  <c r="L30" i="1"/>
  <c r="L24" i="1"/>
  <c r="L23" i="1"/>
  <c r="L20" i="1"/>
  <c r="L15" i="1"/>
  <c r="L14" i="1"/>
  <c r="L13" i="1"/>
  <c r="L12" i="1"/>
  <c r="L11" i="1"/>
  <c r="L10" i="1"/>
  <c r="L8" i="1"/>
  <c r="L7" i="1"/>
  <c r="L5" i="1"/>
  <c r="L1" i="1"/>
  <c r="K40" i="1"/>
  <c r="K39" i="1"/>
  <c r="K38" i="1"/>
  <c r="K37" i="1"/>
  <c r="K36" i="1"/>
  <c r="K35" i="1"/>
  <c r="K33" i="1"/>
  <c r="K32" i="1"/>
  <c r="K31" i="1"/>
  <c r="K30" i="1"/>
  <c r="K24" i="1"/>
  <c r="K19" i="1"/>
  <c r="K4" i="1"/>
  <c r="K3" i="1"/>
  <c r="K1" i="1"/>
  <c r="J35" i="1"/>
  <c r="J34" i="1"/>
  <c r="J21" i="1"/>
  <c r="J9" i="1"/>
  <c r="J3" i="1"/>
  <c r="J2" i="1"/>
  <c r="J1" i="1"/>
  <c r="I40" i="1"/>
  <c r="I39" i="1"/>
  <c r="I35" i="1"/>
  <c r="I34" i="1"/>
  <c r="I33" i="1"/>
  <c r="I30" i="1"/>
  <c r="I20" i="1"/>
  <c r="I19" i="1"/>
  <c r="I18" i="1"/>
  <c r="I16" i="1"/>
  <c r="I15" i="1"/>
  <c r="I14" i="1"/>
  <c r="I13" i="1"/>
  <c r="I9" i="1"/>
  <c r="I8" i="1"/>
  <c r="I6" i="1"/>
  <c r="I5" i="1"/>
  <c r="I3" i="1"/>
  <c r="I1" i="1"/>
  <c r="H39" i="1"/>
  <c r="H38" i="1"/>
  <c r="H34" i="1"/>
  <c r="H28" i="1"/>
  <c r="H27" i="1"/>
  <c r="H26" i="1"/>
  <c r="H25" i="1"/>
  <c r="H24" i="1"/>
  <c r="H20" i="1"/>
  <c r="H18" i="1"/>
  <c r="H17" i="1"/>
  <c r="H16" i="1"/>
  <c r="H14" i="1"/>
  <c r="H13" i="1"/>
  <c r="H12" i="1"/>
  <c r="H10" i="1"/>
  <c r="H9" i="1"/>
  <c r="H5" i="1"/>
  <c r="H4" i="1"/>
  <c r="H1" i="1"/>
  <c r="G40" i="1"/>
  <c r="G38" i="1"/>
  <c r="G37" i="1"/>
  <c r="G36" i="1"/>
  <c r="G35" i="1"/>
  <c r="G34" i="1"/>
  <c r="G33" i="1"/>
  <c r="G32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9" i="1"/>
  <c r="G8" i="1"/>
  <c r="G7" i="1"/>
  <c r="G5" i="1"/>
  <c r="G4" i="1"/>
  <c r="G3" i="1"/>
  <c r="G2" i="1"/>
  <c r="G1" i="1"/>
  <c r="F38" i="1"/>
  <c r="F37" i="1"/>
  <c r="F36" i="1"/>
  <c r="F35" i="1"/>
  <c r="F34" i="1"/>
  <c r="F33" i="1"/>
  <c r="F28" i="1"/>
  <c r="F21" i="1"/>
  <c r="F19" i="1"/>
  <c r="F18" i="1"/>
  <c r="F17" i="1"/>
  <c r="F10" i="1"/>
  <c r="F9" i="1"/>
  <c r="E40" i="1"/>
  <c r="E38" i="1"/>
  <c r="E37" i="1"/>
  <c r="E36" i="1"/>
  <c r="E35" i="1"/>
  <c r="E34" i="1"/>
  <c r="E33" i="1"/>
  <c r="E32" i="1"/>
  <c r="E30" i="1"/>
  <c r="E17" i="1"/>
  <c r="E12" i="1"/>
  <c r="E10" i="1"/>
  <c r="E9" i="1"/>
  <c r="E7" i="1"/>
  <c r="E6" i="1"/>
  <c r="E5" i="1"/>
  <c r="E1" i="1"/>
  <c r="D37" i="1"/>
  <c r="D35" i="1"/>
  <c r="D23" i="1"/>
  <c r="D22" i="1"/>
  <c r="D8" i="1"/>
  <c r="D7" i="1"/>
  <c r="D6" i="1"/>
  <c r="D5" i="1"/>
  <c r="D4" i="1"/>
  <c r="D3" i="1"/>
  <c r="D1" i="1"/>
  <c r="C36" i="1"/>
  <c r="C35" i="1"/>
  <c r="C31" i="1"/>
  <c r="C29" i="1"/>
  <c r="C28" i="1"/>
  <c r="C16" i="1"/>
  <c r="C15" i="1"/>
  <c r="C14" i="1"/>
  <c r="C13" i="1"/>
  <c r="C10" i="1"/>
  <c r="C9" i="1"/>
  <c r="B39" i="1"/>
  <c r="B38" i="1"/>
  <c r="B37" i="1"/>
  <c r="B27" i="1"/>
  <c r="B24" i="1"/>
  <c r="B23" i="1"/>
  <c r="B22" i="1"/>
  <c r="B21" i="1"/>
  <c r="B19" i="1"/>
  <c r="B18" i="1"/>
  <c r="B17" i="1"/>
  <c r="B16" i="1"/>
  <c r="B15" i="1"/>
  <c r="B13" i="1"/>
  <c r="B12" i="1"/>
  <c r="B7" i="1"/>
  <c r="B6" i="1"/>
  <c r="B5" i="1"/>
  <c r="B4" i="1"/>
  <c r="B1" i="1"/>
  <c r="M15" i="1"/>
  <c r="H3" i="1"/>
  <c r="F22" i="1"/>
  <c r="E11" i="1"/>
  <c r="D30" i="1"/>
  <c r="D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<sst xmlns="http://schemas.openxmlformats.org/spreadsheetml/2006/main" count="1" uniqueCount="1">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</sst>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1">
      <tp t="e">
        <v>#N/A</v>
        <stp>1</stp>
        <tr r="D3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1</v>
  </rv>
  <rv s="0">
    <v>2</v>
    <v>10</v>
  </rv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136E-7877-430D-AF64-33A922A858C3}">
  <dimension ref="A1:N40"/>
  <sheetViews>
    <sheetView tabSelected="1" workbookViewId="0"/>
  </sheetViews>
  <sheetFormatPr defaultRowHeight="15" x14ac:dyDescent="0.25"/>
  <sheetData>
    <row r="1" spans="1:14" x14ac:dyDescent="0.25">
      <c r="A1">
        <v>1</v>
      </c>
      <c r="B1">
        <f>ABS(1)</f>
        <v>1</v>
      </c>
      <c r="D1" t="e">
        <f ca="1">COPILOT(1)</f>
        <v>#NAME?</v>
      </c>
      <c r="E1" t="str">
        <f>DBCS(1)</f>
        <v>1</v>
      </c>
      <c r="G1">
        <f>GROWTH(1)</f>
        <v>1</v>
      </c>
      <c r="H1" t="str">
        <f>_xlfn.IMTAN(1)</f>
        <v>1.5574077246549</v>
      </c>
      <c r="I1">
        <f>MDETERM(1)</f>
        <v>1</v>
      </c>
      <c r="J1">
        <f>OCT2DEC(1)</f>
        <v>1</v>
      </c>
      <c r="K1">
        <f>RADIANS(1)</f>
        <v>1.7453292519943295E-2</v>
      </c>
      <c r="L1" t="e">
        <f>_xlfn.SKEW.P(1)</f>
        <v>#DIV/0!</v>
      </c>
      <c r="N1">
        <f>WEEKDAY(1)</f>
        <v>1</v>
      </c>
    </row>
    <row r="2" spans="1:14" x14ac:dyDescent="0.25">
      <c r="A2">
        <v>2</v>
      </c>
      <c r="G2">
        <f>HARMEAN(1)</f>
        <v>1</v>
      </c>
      <c r="J2" t="str">
        <f>OCT2HEX(1)</f>
        <v>1</v>
      </c>
      <c r="N2">
        <f>WEEKNUM(1)</f>
        <v>1</v>
      </c>
    </row>
    <row r="3" spans="1:14" x14ac:dyDescent="0.25">
      <c r="A3">
        <v>3</v>
      </c>
      <c r="D3">
        <f>COS(1)</f>
        <v>0.54030230586813977</v>
      </c>
      <c r="G3" t="str">
        <f>HEX2BIN(1)</f>
        <v>1</v>
      </c>
      <c r="H3" t="e">
        <f ca="1">INDIRECT(1)</f>
        <v>#REF!</v>
      </c>
      <c r="I3">
        <f>MEDIAN(1)</f>
        <v>1</v>
      </c>
      <c r="J3">
        <f>ODD(1)</f>
        <v>1</v>
      </c>
      <c r="K3" t="e">
        <f ca="1">RANDARRA(1)</f>
        <v>#NAME?</v>
      </c>
    </row>
    <row r="4" spans="1:14" x14ac:dyDescent="0.25">
      <c r="A4" t="s">
        <v>0</v>
      </c>
      <c r="B4">
        <f>ACOS(1)</f>
        <v>0</v>
      </c>
      <c r="D4">
        <f>COSH(1)</f>
        <v>1.5430806348152437</v>
      </c>
      <c r="G4">
        <f>HEX2DEC(1)</f>
        <v>1</v>
      </c>
      <c r="H4" t="e">
        <f ca="1">INFO(1)</f>
        <v>#VALUE!</v>
      </c>
      <c r="K4">
        <f ca="1">_xlfn.RANDARRAY(1)</f>
        <v>0.32622133954115595</v>
      </c>
    </row>
    <row r="5" spans="1:14" x14ac:dyDescent="0.25">
      <c r="B5">
        <f>ACOSH(1)</f>
        <v>0</v>
      </c>
      <c r="D5">
        <f>_xlfn.COT(1)</f>
        <v>0.64209261593433065</v>
      </c>
      <c r="E5" t="str">
        <f>DEC2BIN(1)</f>
        <v>1</v>
      </c>
      <c r="G5" t="str">
        <f>HEX2OCT(1)</f>
        <v>1</v>
      </c>
      <c r="H5">
        <f>INT(1)</f>
        <v>1</v>
      </c>
      <c r="I5">
        <f>MIN(1)</f>
        <v>1</v>
      </c>
      <c r="L5">
        <f>_xlfn._xlws.SORT(1)</f>
        <v>1</v>
      </c>
    </row>
    <row r="6" spans="1:14" x14ac:dyDescent="0.25">
      <c r="B6">
        <f>_xlfn.ACOT(1)</f>
        <v>0.78539816339744828</v>
      </c>
      <c r="D6">
        <f>_xlfn.COTH(1)</f>
        <v>1.3130352854993315</v>
      </c>
      <c r="E6" t="str">
        <f>DEC2HEX(1)</f>
        <v>1</v>
      </c>
      <c r="I6">
        <f>MINA(1)</f>
        <v>1</v>
      </c>
    </row>
    <row r="7" spans="1:14" x14ac:dyDescent="0.25">
      <c r="B7" t="e">
        <f>_xlfn.ACOTH(1)</f>
        <v>#NUM!</v>
      </c>
      <c r="D7">
        <f>COUNT(1)</f>
        <v>1</v>
      </c>
      <c r="E7" t="str">
        <f>DEC2OCT(1)</f>
        <v>1</v>
      </c>
      <c r="G7">
        <f>HOUR(1)</f>
        <v>0</v>
      </c>
      <c r="L7">
        <f>SQRT(1)</f>
        <v>1</v>
      </c>
    </row>
    <row r="8" spans="1:14" x14ac:dyDescent="0.25">
      <c r="D8">
        <f>COUNTA(1)</f>
        <v>1</v>
      </c>
      <c r="G8">
        <f>_xlfn.HSTACK(1)</f>
        <v>1</v>
      </c>
      <c r="I8">
        <f>MINUTE(1)</f>
        <v>0</v>
      </c>
      <c r="L8">
        <f>SQRTPI(1)</f>
        <v>1.7724538509055159</v>
      </c>
    </row>
    <row r="9" spans="1:14" x14ac:dyDescent="0.25">
      <c r="C9" t="e" vm="1">
        <f>_xlfn.BYCOL(1)</f>
        <v>#VALUE!</v>
      </c>
      <c r="E9">
        <f>DEGREES(1)</f>
        <v>57.295779513082323</v>
      </c>
      <c r="F9">
        <f>FACT(1)</f>
        <v>1</v>
      </c>
      <c r="G9" s="1" t="str">
        <f>HYPERLINK(1)</f>
        <v>1</v>
      </c>
      <c r="H9" s="2" t="e">
        <f>IRR(1)</f>
        <v>#NUM!</v>
      </c>
      <c r="I9">
        <f>MINVERSE(1)</f>
        <v>1</v>
      </c>
      <c r="J9" t="b">
        <f>OR(1)</f>
        <v>1</v>
      </c>
    </row>
    <row r="10" spans="1:14" x14ac:dyDescent="0.25">
      <c r="C10" t="e" vm="1">
        <f>_xlfn.BYROW(1)</f>
        <v>#VALUE!</v>
      </c>
      <c r="E10">
        <f>DELTA(1)</f>
        <v>0</v>
      </c>
      <c r="F10">
        <f>FACTDOUBLE(1)</f>
        <v>1</v>
      </c>
      <c r="H10" t="b">
        <f>ISEVEN(1)</f>
        <v>0</v>
      </c>
      <c r="L10" t="e">
        <f>STDEV(1)</f>
        <v>#DIV/0!</v>
      </c>
      <c r="M10" t="e">
        <f>TIMEVALUE(1)</f>
        <v>#VALUE!</v>
      </c>
    </row>
    <row r="11" spans="1:14" x14ac:dyDescent="0.25">
      <c r="E11" t="str">
        <f>_xlfn.DETECTLANGUAGE(1)</f>
        <v>en</v>
      </c>
      <c r="L11">
        <f>_xlfn.STDEV.P(1)</f>
        <v>0</v>
      </c>
    </row>
    <row r="12" spans="1:14" x14ac:dyDescent="0.25">
      <c r="B12" t="b">
        <f>AND(1)</f>
        <v>1</v>
      </c>
      <c r="E12">
        <f>DEVSQ(1)</f>
        <v>0</v>
      </c>
      <c r="H12">
        <f>ISO.CEILING(1)</f>
        <v>1</v>
      </c>
      <c r="L12" t="e">
        <f>_xlfn.STDEV.S(1)</f>
        <v>#DIV/0!</v>
      </c>
      <c r="M12">
        <f>_xlfn.TOCOL(1)</f>
        <v>1</v>
      </c>
    </row>
    <row r="13" spans="1:14" x14ac:dyDescent="0.25">
      <c r="B13" t="e">
        <f>_xlfn.ARABIC(1)</f>
        <v>#VALUE!</v>
      </c>
      <c r="C13">
        <f>_xlfn.CEILING.MATH(1)</f>
        <v>1</v>
      </c>
      <c r="H13" t="b">
        <f>_xlfn.ISOMITTED(1)</f>
        <v>0</v>
      </c>
      <c r="I13" t="e">
        <f>MODE(1)</f>
        <v>#N/A</v>
      </c>
      <c r="L13" t="e">
        <f>STDEVA(1)</f>
        <v>#DIV/0!</v>
      </c>
      <c r="N13" t="b">
        <f>_xlfn.XOR(1)</f>
        <v>1</v>
      </c>
    </row>
    <row r="14" spans="1:14" x14ac:dyDescent="0.25">
      <c r="C14">
        <f>_xlfn.CEILING.PRECISE(1)</f>
        <v>1</v>
      </c>
      <c r="H14">
        <f>_xlfn.ISOWEEKNUM(1)</f>
        <v>52</v>
      </c>
      <c r="I14" t="e">
        <f>_xlfn.MODE.MULT(1)</f>
        <v>#N/A</v>
      </c>
      <c r="L14">
        <f>STDEVP(1)</f>
        <v>0</v>
      </c>
      <c r="M14">
        <f>_xlfn.TOROW(1)</f>
        <v>1</v>
      </c>
      <c r="N14">
        <f>YEAR(1)</f>
        <v>1900</v>
      </c>
    </row>
    <row r="15" spans="1:14" x14ac:dyDescent="0.25">
      <c r="B15" t="str">
        <f>_xlfn.ARRAYTOTEXT(1)</f>
        <v>1</v>
      </c>
      <c r="C15" t="e">
        <f ca="1">CELL(1)</f>
        <v>#VALUE!</v>
      </c>
      <c r="I15" t="e">
        <f>_xlfn.MODE.SNGL(1)</f>
        <v>#N/A</v>
      </c>
      <c r="L15">
        <f>STDEVPA(1)</f>
        <v>0</v>
      </c>
      <c r="M15" t="str">
        <f>_xlfn.TRANSLATE(1)</f>
        <v>1</v>
      </c>
    </row>
    <row r="16" spans="1:14" x14ac:dyDescent="0.25">
      <c r="B16" t="str">
        <f>ASC(1)</f>
        <v>1</v>
      </c>
      <c r="C16" t="str">
        <f>CHAR(1)</f>
        <v>_x0001_</v>
      </c>
      <c r="G16">
        <f>IMABS(1)</f>
        <v>1</v>
      </c>
      <c r="H16" t="e">
        <f ca="1">JIS(1)</f>
        <v>#NAME?</v>
      </c>
      <c r="I16">
        <f>MONTH(1)</f>
        <v>1</v>
      </c>
      <c r="M16">
        <f>TRANSPOSE(1)</f>
        <v>1</v>
      </c>
    </row>
    <row r="17" spans="2:13" x14ac:dyDescent="0.25">
      <c r="B17">
        <f>ASIN(1)</f>
        <v>1.5707963267948966</v>
      </c>
      <c r="E17" t="str">
        <f>DOLLAR(1)</f>
        <v>R1.00</v>
      </c>
      <c r="F17" t="e">
        <f>FISHER(1)</f>
        <v>#NUM!</v>
      </c>
      <c r="G17" t="e" vm="2">
        <f>_xlfn.IMAGE(1)</f>
        <v>#VALUE!</v>
      </c>
      <c r="H17" t="e">
        <f>KURT(1)</f>
        <v>#DIV/0!</v>
      </c>
      <c r="M17">
        <f>TREND(1)</f>
        <v>1</v>
      </c>
    </row>
    <row r="18" spans="2:13" x14ac:dyDescent="0.25">
      <c r="B18">
        <f>ASINH(1)</f>
        <v>0.88137358701954294</v>
      </c>
      <c r="F18">
        <f>FISHERINV(1)</f>
        <v>0.76159415595576485</v>
      </c>
      <c r="G18">
        <f>IMAGINARY(1)</f>
        <v>0</v>
      </c>
      <c r="H18" t="e" vm="3">
        <f>_xlfn.LAMBDA(1)</f>
        <v>#VALUE!</v>
      </c>
      <c r="I18">
        <f>MULTINOMIAL(1)</f>
        <v>1</v>
      </c>
      <c r="M18" t="str">
        <f>TRIM(1)</f>
        <v>1</v>
      </c>
    </row>
    <row r="19" spans="2:13" x14ac:dyDescent="0.25">
      <c r="B19">
        <f>ATAN(1)</f>
        <v>0.78539816339744828</v>
      </c>
      <c r="F19" t="str">
        <f>FIXED(1)</f>
        <v>1.00</v>
      </c>
      <c r="G19">
        <f>IMARGUMENT(1)</f>
        <v>0</v>
      </c>
      <c r="I19">
        <f>_xlfn.MUNIT(1)</f>
        <v>1</v>
      </c>
      <c r="K19" t="str">
        <f>ROMAN(1)</f>
        <v>I</v>
      </c>
    </row>
    <row r="20" spans="2:13" x14ac:dyDescent="0.25">
      <c r="G20" t="str">
        <f>IMCONJUGATE(1)</f>
        <v>1</v>
      </c>
      <c r="H20">
        <f>LCM(1)</f>
        <v>1</v>
      </c>
      <c r="I20">
        <f>N(1)</f>
        <v>1</v>
      </c>
      <c r="L20">
        <f>SUM(1)</f>
        <v>1</v>
      </c>
      <c r="M20">
        <f>_xlfn.TRIMRANGE(1)</f>
        <v>1</v>
      </c>
    </row>
    <row r="21" spans="2:13" x14ac:dyDescent="0.25">
      <c r="B21" t="e">
        <f>ATANH(1)</f>
        <v>#NUM!</v>
      </c>
      <c r="F21">
        <f>_xlfn.FLOOR.MATH(1)</f>
        <v>1</v>
      </c>
      <c r="G21" t="str">
        <f>IMCOS(1)</f>
        <v>0.54030230586814</v>
      </c>
      <c r="J21">
        <f>_xlfn.PHI(1)</f>
        <v>0.24197072451914337</v>
      </c>
    </row>
    <row r="22" spans="2:13" x14ac:dyDescent="0.25">
      <c r="B22">
        <f>AVEDEV(1)</f>
        <v>0</v>
      </c>
      <c r="D22">
        <f>_xlfn.CSC(1)</f>
        <v>1.1883951057781212</v>
      </c>
      <c r="F22">
        <f>_xlfn.FLOOR.PRECISE(1)</f>
        <v>1</v>
      </c>
      <c r="G22" t="str">
        <f>_xlfn.IMCOSH(1)</f>
        <v>1.54308063481524</v>
      </c>
      <c r="M22">
        <f>TRUNC(1)</f>
        <v>1</v>
      </c>
    </row>
    <row r="23" spans="2:13" x14ac:dyDescent="0.25">
      <c r="B23">
        <f>AVERAGE(1)</f>
        <v>1</v>
      </c>
      <c r="D23">
        <f>_xlfn.CSCH(1)</f>
        <v>0.85091812823932156</v>
      </c>
      <c r="G23" t="str">
        <f>_xlfn.IMCOT(1)</f>
        <v>0.642092615934331</v>
      </c>
      <c r="L23">
        <f>SUMPRODUCT(1)</f>
        <v>1</v>
      </c>
    </row>
    <row r="24" spans="2:13" x14ac:dyDescent="0.25">
      <c r="B24">
        <f>AVERAGEA(1)</f>
        <v>1</v>
      </c>
      <c r="G24" t="str">
        <f>_xlfn.IMCSC(1)</f>
        <v>1.18839510577812</v>
      </c>
      <c r="H24">
        <f>LINEST(1)</f>
        <v>0</v>
      </c>
      <c r="K24">
        <f>ROWS(1)</f>
        <v>1</v>
      </c>
      <c r="L24">
        <f>SUMSQ(1)</f>
        <v>1</v>
      </c>
      <c r="M24">
        <f>TYPE(1)</f>
        <v>1</v>
      </c>
    </row>
    <row r="25" spans="2:13" x14ac:dyDescent="0.25">
      <c r="G25" t="str">
        <f>_xlfn.IMCSCH(1)</f>
        <v>0.850918128239322</v>
      </c>
      <c r="H25">
        <f>LN(1)</f>
        <v>0</v>
      </c>
      <c r="M25" t="str">
        <f>_xlfn.UNICHAR(1)</f>
        <v>_x0001_</v>
      </c>
    </row>
    <row r="26" spans="2:13" x14ac:dyDescent="0.25">
      <c r="H26">
        <f>LOG(1)</f>
        <v>0</v>
      </c>
      <c r="M26">
        <f>_xlfn.UNICODE(1)</f>
        <v>49</v>
      </c>
    </row>
    <row r="27" spans="2:13" x14ac:dyDescent="0.25">
      <c r="B27" t="str">
        <f>BAHTTEXT(1)</f>
        <v>หนึ่งบาทถ้วน</v>
      </c>
      <c r="G27" t="str">
        <f>IMEXP(1)</f>
        <v>2.71828182845905</v>
      </c>
      <c r="H27">
        <f>LOG10(1)</f>
        <v>0</v>
      </c>
      <c r="M27">
        <f>_xlfn.UNIQUE(1)</f>
        <v>1</v>
      </c>
    </row>
    <row r="28" spans="2:13" x14ac:dyDescent="0.25">
      <c r="C28" t="str">
        <f>CLEAN(1)</f>
        <v>1</v>
      </c>
      <c r="F28">
        <f>_xlfn.GAMMA(1)</f>
        <v>1</v>
      </c>
      <c r="G28" t="str">
        <f>IMLN(1)</f>
        <v>0</v>
      </c>
      <c r="H28">
        <f>LOGEST(1)</f>
        <v>1</v>
      </c>
      <c r="M28" t="str">
        <f>UPPER(1)</f>
        <v>1</v>
      </c>
    </row>
    <row r="29" spans="2:13" x14ac:dyDescent="0.25">
      <c r="C29">
        <f>CODE(1)</f>
        <v>49</v>
      </c>
      <c r="D29" t="e">
        <f>CUBESETCOUNT(1)</f>
        <v>#N/A</v>
      </c>
      <c r="G29" t="str">
        <f>IMLOG10(1)</f>
        <v>0</v>
      </c>
      <c r="M29">
        <f>VALUE(1)</f>
        <v>1</v>
      </c>
    </row>
    <row r="30" spans="2:13" x14ac:dyDescent="0.25">
      <c r="D30" t="e">
        <f>CUBEVALUE(1)</f>
        <v>#N/A</v>
      </c>
      <c r="E30" t="str">
        <f>_xlfn.ENCODEURL(1)</f>
        <v>1</v>
      </c>
      <c r="G30" t="str">
        <f>IMLOG2(1)</f>
        <v>0</v>
      </c>
      <c r="I30" t="e">
        <f>_xlfn.NORM.S.INV(1)</f>
        <v>#NUM!</v>
      </c>
      <c r="K30">
        <f>_xlfn.SEC(1)</f>
        <v>1.8508157176809255</v>
      </c>
      <c r="L30" t="str">
        <f>T(1)</f>
        <v/>
      </c>
      <c r="M30" t="str">
        <f>_xlfn.VALUETOTEXT(1)</f>
        <v>1</v>
      </c>
    </row>
    <row r="31" spans="2:13" x14ac:dyDescent="0.25">
      <c r="C31">
        <f>COLUMNS(1)</f>
        <v>1</v>
      </c>
      <c r="K31">
        <f>_xlfn.SECH(1)</f>
        <v>0.64805427366388546</v>
      </c>
      <c r="M31" t="e">
        <f>VAR(1)</f>
        <v>#DIV/0!</v>
      </c>
    </row>
    <row r="32" spans="2:13" x14ac:dyDescent="0.25">
      <c r="E32">
        <f>ERF(1)</f>
        <v>0.84270079294971489</v>
      </c>
      <c r="G32" t="str">
        <f>IMPRODUCT(1)</f>
        <v>1</v>
      </c>
      <c r="K32">
        <f>SECOND(1)</f>
        <v>0</v>
      </c>
      <c r="M32">
        <f>_xlfn.VAR.P(1)</f>
        <v>0</v>
      </c>
    </row>
    <row r="33" spans="2:13" x14ac:dyDescent="0.25">
      <c r="E33">
        <f>_xlfn.ERF.PRECISE(1)</f>
        <v>0.84270079294971489</v>
      </c>
      <c r="F33">
        <f>GAMMALN(1)</f>
        <v>0</v>
      </c>
      <c r="G33">
        <f>IMREAL(1)</f>
        <v>1</v>
      </c>
      <c r="I33">
        <f>NORMSDIST(1)</f>
        <v>0.84134474606854304</v>
      </c>
      <c r="K33">
        <f>_xlfn.SEQUENCE(1)</f>
        <v>1</v>
      </c>
      <c r="M33" t="e">
        <f>_xlfn.VAR.S(1)</f>
        <v>#DIV/0!</v>
      </c>
    </row>
    <row r="34" spans="2:13" x14ac:dyDescent="0.25">
      <c r="E34">
        <f>ERFC(1)</f>
        <v>0.15729920705028513</v>
      </c>
      <c r="F34">
        <f>_xlfn.GAMMALN.PRECISE(1)</f>
        <v>0</v>
      </c>
      <c r="G34" t="str">
        <f>_xlfn.IMSEC(1)</f>
        <v>1.85081571768093</v>
      </c>
      <c r="H34" t="str">
        <f>LOWER(1)</f>
        <v>1</v>
      </c>
      <c r="I34" t="e">
        <f>NORMSINV(1)</f>
        <v>#NUM!</v>
      </c>
      <c r="J34">
        <f>PRODUCT(1)</f>
        <v>1</v>
      </c>
      <c r="M34" t="e">
        <f>VARA(1)</f>
        <v>#DIV/0!</v>
      </c>
    </row>
    <row r="35" spans="2:13" x14ac:dyDescent="0.25">
      <c r="C35" t="str">
        <f>_xlfn.CONCAT(1)</f>
        <v>1</v>
      </c>
      <c r="D35" t="e">
        <f>DATEVALUE(1)</f>
        <v>#VALUE!</v>
      </c>
      <c r="E35">
        <f>_xlfn.ERFC.PRECISE(1)</f>
        <v>0.15729920705028513</v>
      </c>
      <c r="F35">
        <f>_xlfn.GAUSS(1)</f>
        <v>0.34134474606854304</v>
      </c>
      <c r="G35" t="str">
        <f>_xlfn.IMSECH(1)</f>
        <v>0.648054273663885</v>
      </c>
      <c r="I35" t="b">
        <f>NOT(1)</f>
        <v>0</v>
      </c>
      <c r="J35" t="str">
        <f>PROPER(1)</f>
        <v>1</v>
      </c>
      <c r="K35" t="e">
        <f ca="1">_xlfn.SHEET(1)</f>
        <v>#N/A</v>
      </c>
      <c r="M35">
        <f>VARP(1)</f>
        <v>0</v>
      </c>
    </row>
    <row r="36" spans="2:13" x14ac:dyDescent="0.25">
      <c r="C36" t="str">
        <f>CONCATENATE(1)</f>
        <v>1</v>
      </c>
      <c r="E36" t="e">
        <f>ERROR.TYPE(1)</f>
        <v>#N/A</v>
      </c>
      <c r="F36">
        <f>GCD(1)</f>
        <v>1</v>
      </c>
      <c r="G36" t="str">
        <f>IMSIN(1)</f>
        <v>0.841470984807897</v>
      </c>
      <c r="K36" t="e">
        <f ca="1">_xlfn.SHEETS(1)</f>
        <v>#N/A</v>
      </c>
      <c r="M36">
        <f>VARPA(1)</f>
        <v>0</v>
      </c>
    </row>
    <row r="37" spans="2:13" x14ac:dyDescent="0.25">
      <c r="B37">
        <f>BIN2DEC(1)</f>
        <v>1</v>
      </c>
      <c r="D37">
        <f>DAY(1)</f>
        <v>1</v>
      </c>
      <c r="E37" t="e">
        <f ca="1">EUROCONVERT(1)</f>
        <v>#NAME?</v>
      </c>
      <c r="F37">
        <f>GEOMEAN(1)</f>
        <v>1</v>
      </c>
      <c r="G37" t="str">
        <f>_xlfn.IMSINH(1)</f>
        <v>1.1752011936438</v>
      </c>
      <c r="K37">
        <f>SIGN(1)</f>
        <v>1</v>
      </c>
    </row>
    <row r="38" spans="2:13" x14ac:dyDescent="0.25">
      <c r="B38" t="str">
        <f>BIN2HEX(1)</f>
        <v>1</v>
      </c>
      <c r="E38">
        <f>EVEN(1)</f>
        <v>2</v>
      </c>
      <c r="F38">
        <f>GESTEP(1)</f>
        <v>1</v>
      </c>
      <c r="G38" t="str">
        <f>IMSQRT(1)</f>
        <v>1</v>
      </c>
      <c r="H38">
        <f>MAX(1)</f>
        <v>1</v>
      </c>
      <c r="K38">
        <f>SIN(1)</f>
        <v>0.8414709848078965</v>
      </c>
      <c r="L38">
        <f>TAN(1)</f>
        <v>1.5574077246549023</v>
      </c>
    </row>
    <row r="39" spans="2:13" x14ac:dyDescent="0.25">
      <c r="B39" t="str">
        <f>BIN2OCT(1)</f>
        <v>1</v>
      </c>
      <c r="H39">
        <f>MAXA(1)</f>
        <v>1</v>
      </c>
      <c r="I39">
        <f>_xlfn.NUMBERVALUE(1)</f>
        <v>1</v>
      </c>
      <c r="K39">
        <f>SINH(1)</f>
        <v>1.1752011936438014</v>
      </c>
      <c r="L39">
        <f>TANH(1)</f>
        <v>0.76159415595576485</v>
      </c>
      <c r="M39">
        <f>_xlfn.VSTACK(1)</f>
        <v>1</v>
      </c>
    </row>
    <row r="40" spans="2:13" x14ac:dyDescent="0.25">
      <c r="E40">
        <f>EXP(1)</f>
        <v>2.7182818284590451</v>
      </c>
      <c r="G40" t="str">
        <f>IMSUM(1)</f>
        <v>1</v>
      </c>
      <c r="I40" t="str">
        <f>OCT2BIN(1)</f>
        <v>1</v>
      </c>
      <c r="K40" t="e">
        <f>SKEW(1)</f>
        <v>#DIV/0!</v>
      </c>
      <c r="M40" t="e">
        <f>_xlfn.WEBSERVICE(1)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2026-02-28T23:03:29Z</dcterms:created>
  <dcterms:modified xsi:type="dcterms:W3CDTF">2026-02-28T23:49:06Z</dcterms:modified>
</cp:coreProperties>
</file>